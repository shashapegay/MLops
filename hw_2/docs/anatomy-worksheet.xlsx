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ega\Documents\GitHub\MLops\hw_2\"/>
    </mc:Choice>
  </mc:AlternateContent>
  <xr:revisionPtr revIDLastSave="0" documentId="13_ncr:1_{BFB861C7-1E9F-4757-85A4-64C201523027}" xr6:coauthVersionLast="47" xr6:coauthVersionMax="47" xr10:uidLastSave="{00000000-0000-0000-0000-000000000000}"/>
  <bookViews>
    <workbookView xWindow="-110" yWindow="-110" windowWidth="19420" windowHeight="11620" activeTab="4" xr2:uid="{00000000-000D-0000-FFFF-FFFF00000000}"/>
  </bookViews>
  <sheets>
    <sheet name="Как пользоваться" sheetId="1" r:id="rId1"/>
    <sheet name="Параметры" sheetId="2" r:id="rId2"/>
    <sheet name="LoRA" sheetId="3" r:id="rId3"/>
    <sheet name="Память" sheetId="4" r:id="rId4"/>
    <sheet name="Ответ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4" l="1"/>
  <c r="E7" i="4" s="1"/>
  <c r="C7" i="4"/>
  <c r="C6" i="4"/>
  <c r="C5" i="4"/>
  <c r="E20" i="3"/>
  <c r="E14" i="3"/>
  <c r="E13" i="3"/>
  <c r="E12" i="3"/>
  <c r="E11" i="3"/>
  <c r="E10" i="3"/>
  <c r="E9" i="3"/>
  <c r="E8" i="3"/>
  <c r="F15" i="2"/>
  <c r="H13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15" i="3" l="1"/>
  <c r="E17" i="3" s="1"/>
  <c r="F18" i="2"/>
  <c r="H10" i="2"/>
  <c r="H11" i="2"/>
  <c r="H6" i="2"/>
  <c r="H14" i="2"/>
  <c r="H7" i="2"/>
  <c r="H15" i="2"/>
  <c r="H8" i="2"/>
  <c r="H12" i="2"/>
  <c r="H5" i="2"/>
  <c r="H9" i="2"/>
  <c r="E5" i="4"/>
  <c r="E6" i="4"/>
</calcChain>
</file>

<file path=xl/sharedStrings.xml><?xml version="1.0" encoding="utf-8"?>
<sst xmlns="http://schemas.openxmlformats.org/spreadsheetml/2006/main" count="111" uniqueCount="99">
  <si>
    <t>Сводная таблица к ДЗ 2 «Анатомия модели»</t>
  </si>
  <si>
    <t>Жёлтые клетки заполняете вы. Сиреневые считаются формулами — их не трогайте.</t>
  </si>
  <si>
    <t>Числа берутся из вашего docs/report.json и из вывода вашей же программы.</t>
  </si>
  <si>
    <t>Зачем это нужно</t>
  </si>
  <si>
    <t>Код можно сгенерировать и ни разу не посмотреть, что он выдал. Таблицу — нельзя:</t>
  </si>
  <si>
    <t>контрольные суммы считаются здесь, и расхождение подсвечивается красным сразу.</t>
  </si>
  <si>
    <t>Если у вас всё зелёное — вы точно посмотрели на свои числа хотя бы один раз.</t>
  </si>
  <si>
    <t>Что заполнять</t>
  </si>
  <si>
    <t>«Параметры» — таблица модуль → параметры → доля. Сумма обязана сойтись с params_total.</t>
  </si>
  <si>
    <t>«LoRA» — свой расчёт параметров адаптера и то, что показал peft. Должны совпасть точно.</t>
  </si>
  <si>
    <t>«Память» — три режима и условия замера. Пик не может быть меньше весов модели.</t>
  </si>
  <si>
    <t>«Ответы» — пять вопросов. Отвечать своими словами, одного-двух предложений хватит.</t>
  </si>
  <si>
    <t>Сдаётся вместе с репозиторием</t>
  </si>
  <si>
    <t>Файл кладёте в docs/ рядом с отчётом. Заполненная таблица — часть отчёта, а не замена ему.</t>
  </si>
  <si>
    <t>Параметры по модулям</t>
  </si>
  <si>
    <t>Столбцы «строк» и «столбцов» — размеры одной матрицы. «Штук» — сколько таких модулей во всей модели.</t>
  </si>
  <si>
    <t>модуль</t>
  </si>
  <si>
    <t>штук</t>
  </si>
  <si>
    <t>строк</t>
  </si>
  <si>
    <t>столбцов</t>
  </si>
  <si>
    <t>по формуле
штук × строк × столбцов</t>
  </si>
  <si>
    <t>по sum(p.numel())</t>
  </si>
  <si>
    <t>сходится?</t>
  </si>
  <si>
    <t>доля модели</t>
  </si>
  <si>
    <t>примечание</t>
  </si>
  <si>
    <t>embed</t>
  </si>
  <si>
    <t>q_proj</t>
  </si>
  <si>
    <t>k_proj</t>
  </si>
  <si>
    <t>v_proj</t>
  </si>
  <si>
    <t>o_proj</t>
  </si>
  <si>
    <t>gate_proj</t>
  </si>
  <si>
    <t>up_proj</t>
  </si>
  <si>
    <t>down_proj</t>
  </si>
  <si>
    <t>norm</t>
  </si>
  <si>
    <t>вектор, а не матрица: столбцов нет</t>
  </si>
  <si>
    <t>lm_head</t>
  </si>
  <si>
    <t>tie_word_embeddings — своих весов нет</t>
  </si>
  <si>
    <t>ИТОГО</t>
  </si>
  <si>
    <t>params_total из отчёта</t>
  </si>
  <si>
    <t>сумма сошлась?</t>
  </si>
  <si>
    <t>Параметры LoRA: своя формула против peft</t>
  </si>
  <si>
    <t>На каждый целевой модуль адаптер добавляет r × (вход + выход) чисел. Умножаем на число слоёв.</t>
  </si>
  <si>
    <t>r (ранг)</t>
  </si>
  <si>
    <t>lora_alpha</t>
  </si>
  <si>
    <t>целевой модуль</t>
  </si>
  <si>
    <t>слоёв</t>
  </si>
  <si>
    <t>вход</t>
  </si>
  <si>
    <t>выход</t>
  </si>
  <si>
    <t>параметров адаптера
r × (вход + выход) × слоёв</t>
  </si>
  <si>
    <t>включён?</t>
  </si>
  <si>
    <t>по вашей формуле</t>
  </si>
  <si>
    <t>что показал peft</t>
  </si>
  <si>
    <t>совпало?</t>
  </si>
  <si>
    <t>параметров базовой модели</t>
  </si>
  <si>
    <t>доля обучаемых</t>
  </si>
  <si>
    <t>Память в трёх режимах</t>
  </si>
  <si>
    <t>Пик памяти не может быть меньше весов модели ни в одном режиме. Если меньше — измерено не то.</t>
  </si>
  <si>
    <t>режим</t>
  </si>
  <si>
    <t>пик, МБ</t>
  </si>
  <si>
    <t>× к инференсу</t>
  </si>
  <si>
    <t>секунд</t>
  </si>
  <si>
    <t>пик больше весов?</t>
  </si>
  <si>
    <t>инференс</t>
  </si>
  <si>
    <t>full fine-tune</t>
  </si>
  <si>
    <t>LoRA (r=8, q/v)</t>
  </si>
  <si>
    <t>Проверка на вменяемость</t>
  </si>
  <si>
    <t>параметров в модели</t>
  </si>
  <si>
    <t>байт на число (bf16 = 2)</t>
  </si>
  <si>
    <t>веса модели, МБ</t>
  </si>
  <si>
    <t>Условия замера — без них числа ничего не значат</t>
  </si>
  <si>
    <t>устройство (cpu / cuda / mps)</t>
  </si>
  <si>
    <t>чем меряли память</t>
  </si>
  <si>
    <t>dtype</t>
  </si>
  <si>
    <t>seq_len</t>
  </si>
  <si>
    <t>batch_size</t>
  </si>
  <si>
    <t>сколько раз повторяли замер</t>
  </si>
  <si>
    <t>что именно в шаге (forward / +backward / +optimizer)</t>
  </si>
  <si>
    <t>модель</t>
  </si>
  <si>
    <t>Почему ваши числа именно такие</t>
  </si>
  <si>
    <t>Своими словами. Одного-двух предложений достаточно — но они должны быть про ваши числа, а не про чужие.</t>
  </si>
  <si>
    <t>вопрос</t>
  </si>
  <si>
    <t>ваш ответ</t>
  </si>
  <si>
    <t>Почему lm_head в вашей таблице весит столько, сколько весит?</t>
  </si>
  <si>
    <t>Почему k_proj вдвое меньше q_proj?</t>
  </si>
  <si>
    <t>Почему MLP занимает большую долю модели, чем всё внимание вместе?</t>
  </si>
  <si>
    <t>Почему при 0,192% обучаемых параметров LoRA экономит намного больше памяти, чем 0,192%?</t>
  </si>
  <si>
    <t>Ваша метрика памяти — какая и почему именно она подходит вашему устройству?</t>
  </si>
  <si>
    <t>да</t>
  </si>
  <si>
    <t>нет</t>
  </si>
  <si>
    <t>cpu</t>
  </si>
  <si>
    <t>bf16</t>
  </si>
  <si>
    <t>peak_wset</t>
  </si>
  <si>
    <t>inference: только forward под torch.inference_mode(); full fine-tune: forward + backward + optimizer.step(); LoRA: forward + backward + optimizer.step(), но обучаются только LoRA-адаптеры</t>
  </si>
  <si>
    <t>Qwen/Qwen3-0.6B</t>
  </si>
  <si>
    <t>У Qwen3 включён tie_word_embeddings=True, поэтому lm_head использует тот же тензор весов, что и embed_tokens. В таблице уникальных параметров у lm_head получается 0 собственных параметров: он не добавляет новую матрицу, а разделяет уже посчитанные веса эмбеддингов.</t>
  </si>
  <si>
    <t>В модели используется GQA: голов запроса больше, чем KV-голов. Поэтому q_proj строит проекции для всех attention-heads, а k_proj только для меньшего числа key/value-heads, из-за чего его матрица и число параметров меньше.</t>
  </si>
  <si>
    <t>В MLP есть большие матрицы gate_proj, up_proj и down_proj, которые переводят hidden state в более широкое intermediate-пространство и обратно. Эти матрицы намного крупнее attention-проекций, поэтому суммарно MLP занимает большую часть параметров модели.</t>
  </si>
  <si>
    <t>При LoRA базовая модель заморожена: для её весов не хранятся градиенты и состояния оптимизатора AdamW. Обучаются только маленькие адаптеры, поэтому экономия идёт не только по самим параметрам, но и по градиентам и optimizer states. Поэтому выигрыш в памяти намного больше, чем доля обучаемых параметров.</t>
  </si>
  <si>
    <t>Метрика — peak_wset из psutil, то есть пиковый working set процесса в RAM. Она подходит для Windows + CPU, потому что тензоры лежат в обычной оперативной памяти, а модуля resource на Windows нет. Для CUDA/MPS нужна была бы метрика памяти ускорителя, но здесь используется CPU.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</si>
</sst>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#,##0.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6B21A8"/>
      <name val="Calibri"/>
    </font>
    <font>
      <sz val="11"/>
      <color rgb="FF1A1A2E"/>
      <name val="Calibri"/>
    </font>
    <font>
      <b/>
      <sz val="11"/>
      <color rgb="FF1A1A2E"/>
      <name val="Calibri"/>
    </font>
    <font>
      <i/>
      <sz val="9"/>
      <color rgb="FF8888AA"/>
      <name val="Calibri"/>
    </font>
    <font>
      <sz val="10"/>
      <color rgb="FF1A1A2E"/>
      <name val="Consolas"/>
    </font>
    <font>
      <sz val="11"/>
      <color rgb="FF1A1A2E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3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2" fillId="3" borderId="1" xfId="0" applyFont="1" applyFill="1" applyBorder="1"/>
    <xf numFmtId="3" fontId="2" fillId="4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4" fillId="0" borderId="1" xfId="0" applyFont="1" applyBorder="1"/>
    <xf numFmtId="0" fontId="3" fillId="0" borderId="1" xfId="0" applyFont="1" applyBorder="1"/>
    <xf numFmtId="3" fontId="3" fillId="4" borderId="1" xfId="0" applyNumberFormat="1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165" fontId="2" fillId="3" borderId="1" xfId="0" applyNumberFormat="1" applyFont="1" applyFill="1" applyBorder="1"/>
    <xf numFmtId="2" fontId="2" fillId="4" borderId="1" xfId="0" applyNumberFormat="1" applyFont="1" applyFill="1" applyBorder="1"/>
    <xf numFmtId="166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/>
    <xf numFmtId="0" fontId="0" fillId="0" borderId="2" xfId="0" applyBorder="1"/>
    <xf numFmtId="0" fontId="6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</cellXfs>
  <cellStyles count="1">
    <cellStyle name="Обычный" xfId="0" builtinId="0"/>
  </cellStyles>
  <dxfs count="8"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workbookViewId="0">
      <selection activeCell="B23" sqref="B23"/>
    </sheetView>
  </sheetViews>
  <sheetFormatPr defaultRowHeight="14.5" x14ac:dyDescent="0.35"/>
  <cols>
    <col min="1" max="1" width="4" customWidth="1"/>
    <col min="2" max="2" width="108" customWidth="1"/>
  </cols>
  <sheetData>
    <row r="2" spans="2:2" ht="18.5" x14ac:dyDescent="0.45">
      <c r="B2" s="1" t="s">
        <v>0</v>
      </c>
    </row>
    <row r="3" spans="2:2" x14ac:dyDescent="0.35">
      <c r="B3" s="2"/>
    </row>
    <row r="4" spans="2:2" x14ac:dyDescent="0.35">
      <c r="B4" s="2" t="s">
        <v>1</v>
      </c>
    </row>
    <row r="5" spans="2:2" x14ac:dyDescent="0.35">
      <c r="B5" s="2" t="s">
        <v>2</v>
      </c>
    </row>
    <row r="6" spans="2:2" x14ac:dyDescent="0.35">
      <c r="B6" s="2"/>
    </row>
    <row r="7" spans="2:2" x14ac:dyDescent="0.35">
      <c r="B7" s="3" t="s">
        <v>3</v>
      </c>
    </row>
    <row r="8" spans="2:2" x14ac:dyDescent="0.35">
      <c r="B8" s="2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/>
    </row>
    <row r="12" spans="2:2" x14ac:dyDescent="0.35">
      <c r="B12" s="3" t="s">
        <v>7</v>
      </c>
    </row>
    <row r="13" spans="2:2" x14ac:dyDescent="0.35">
      <c r="B13" s="2" t="s">
        <v>8</v>
      </c>
    </row>
    <row r="14" spans="2:2" x14ac:dyDescent="0.35">
      <c r="B14" s="2" t="s">
        <v>9</v>
      </c>
    </row>
    <row r="15" spans="2:2" x14ac:dyDescent="0.35">
      <c r="B15" s="2" t="s">
        <v>10</v>
      </c>
    </row>
    <row r="16" spans="2:2" x14ac:dyDescent="0.35">
      <c r="B16" s="2" t="s">
        <v>11</v>
      </c>
    </row>
    <row r="17" spans="2:2" x14ac:dyDescent="0.35">
      <c r="B17" s="2"/>
    </row>
    <row r="18" spans="2:2" x14ac:dyDescent="0.35">
      <c r="B18" s="3" t="s">
        <v>12</v>
      </c>
    </row>
    <row r="19" spans="2:2" x14ac:dyDescent="0.35">
      <c r="B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4" topLeftCell="A5" activePane="bottomLeft" state="frozen"/>
      <selection pane="bottomLeft" activeCell="F19" sqref="F19"/>
    </sheetView>
  </sheetViews>
  <sheetFormatPr defaultRowHeight="14.5" x14ac:dyDescent="0.35"/>
  <cols>
    <col min="1" max="1" width="16" customWidth="1"/>
    <col min="2" max="2" width="8" customWidth="1"/>
    <col min="3" max="3" width="10" customWidth="1"/>
    <col min="4" max="4" width="12" customWidth="1"/>
    <col min="5" max="5" width="20" customWidth="1"/>
    <col min="6" max="6" width="18" customWidth="1"/>
    <col min="7" max="7" width="14" customWidth="1"/>
    <col min="8" max="8" width="12" customWidth="1"/>
    <col min="9" max="9" width="34" customWidth="1"/>
  </cols>
  <sheetData>
    <row r="1" spans="1:9" ht="18.5" x14ac:dyDescent="0.45">
      <c r="A1" s="1" t="s">
        <v>14</v>
      </c>
    </row>
    <row r="2" spans="1:9" x14ac:dyDescent="0.35">
      <c r="A2" s="4" t="s">
        <v>15</v>
      </c>
    </row>
    <row r="4" spans="1:9" ht="30" customHeight="1" x14ac:dyDescent="0.3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</row>
    <row r="5" spans="1:9" x14ac:dyDescent="0.35">
      <c r="A5" s="6" t="s">
        <v>25</v>
      </c>
      <c r="B5" s="7">
        <v>1</v>
      </c>
      <c r="C5" s="7">
        <v>151936</v>
      </c>
      <c r="D5" s="7">
        <v>1024</v>
      </c>
      <c r="E5" s="8">
        <f t="shared" ref="E5:E14" si="0">IF(COUNT(B5:D5)=3,B5*C5*D5,"")</f>
        <v>155582464</v>
      </c>
      <c r="F5" s="9">
        <v>155582464</v>
      </c>
      <c r="G5" s="10" t="str">
        <f t="shared" ref="G5:G14" si="1">IF(E5="","—",IF(E5=F5,"сходится","РАСХОЖДЕНИЕ"))</f>
        <v>сходится</v>
      </c>
      <c r="H5" s="11">
        <f t="shared" ref="H5:H14" si="2">IF($F$15=0,"",F5/$F$15)</f>
        <v>0.26102253985706431</v>
      </c>
      <c r="I5" s="12"/>
    </row>
    <row r="6" spans="1:9" x14ac:dyDescent="0.35">
      <c r="A6" s="6" t="s">
        <v>26</v>
      </c>
      <c r="B6" s="7">
        <v>28</v>
      </c>
      <c r="C6" s="7">
        <v>2048</v>
      </c>
      <c r="D6" s="7">
        <v>1024</v>
      </c>
      <c r="E6" s="8">
        <f t="shared" si="0"/>
        <v>58720256</v>
      </c>
      <c r="F6" s="9">
        <v>58720256</v>
      </c>
      <c r="G6" s="10" t="str">
        <f t="shared" si="1"/>
        <v>сходится</v>
      </c>
      <c r="H6" s="11">
        <f t="shared" si="2"/>
        <v>9.8515667949422764E-2</v>
      </c>
      <c r="I6" s="12"/>
    </row>
    <row r="7" spans="1:9" x14ac:dyDescent="0.35">
      <c r="A7" s="6" t="s">
        <v>27</v>
      </c>
      <c r="B7" s="7">
        <v>28</v>
      </c>
      <c r="C7" s="7">
        <v>1024</v>
      </c>
      <c r="D7" s="7">
        <v>1024</v>
      </c>
      <c r="E7" s="8">
        <f t="shared" si="0"/>
        <v>29360128</v>
      </c>
      <c r="F7" s="9">
        <v>29360128</v>
      </c>
      <c r="G7" s="10" t="str">
        <f t="shared" si="1"/>
        <v>сходится</v>
      </c>
      <c r="H7" s="11">
        <f t="shared" si="2"/>
        <v>4.9257833974711382E-2</v>
      </c>
      <c r="I7" s="12"/>
    </row>
    <row r="8" spans="1:9" x14ac:dyDescent="0.35">
      <c r="A8" s="6" t="s">
        <v>28</v>
      </c>
      <c r="B8" s="7">
        <v>28</v>
      </c>
      <c r="C8" s="7">
        <v>1024</v>
      </c>
      <c r="D8" s="7">
        <v>1024</v>
      </c>
      <c r="E8" s="8">
        <f t="shared" si="0"/>
        <v>29360128</v>
      </c>
      <c r="F8" s="9">
        <v>29360128</v>
      </c>
      <c r="G8" s="10" t="str">
        <f t="shared" si="1"/>
        <v>сходится</v>
      </c>
      <c r="H8" s="11">
        <f t="shared" si="2"/>
        <v>4.9257833974711382E-2</v>
      </c>
      <c r="I8" s="12"/>
    </row>
    <row r="9" spans="1:9" x14ac:dyDescent="0.35">
      <c r="A9" s="6" t="s">
        <v>29</v>
      </c>
      <c r="B9" s="7">
        <v>28</v>
      </c>
      <c r="C9" s="7">
        <v>1024</v>
      </c>
      <c r="D9" s="7">
        <v>2048</v>
      </c>
      <c r="E9" s="8">
        <f t="shared" si="0"/>
        <v>58720256</v>
      </c>
      <c r="F9" s="9">
        <v>58720256</v>
      </c>
      <c r="G9" s="10" t="str">
        <f t="shared" si="1"/>
        <v>сходится</v>
      </c>
      <c r="H9" s="11">
        <f t="shared" si="2"/>
        <v>9.8515667949422764E-2</v>
      </c>
      <c r="I9" s="12"/>
    </row>
    <row r="10" spans="1:9" x14ac:dyDescent="0.35">
      <c r="A10" s="6" t="s">
        <v>30</v>
      </c>
      <c r="B10" s="7">
        <v>28</v>
      </c>
      <c r="C10" s="7">
        <v>3072</v>
      </c>
      <c r="D10" s="7">
        <v>1024</v>
      </c>
      <c r="E10" s="8">
        <f t="shared" si="0"/>
        <v>88080384</v>
      </c>
      <c r="F10" s="9">
        <v>88080384</v>
      </c>
      <c r="G10" s="10" t="str">
        <f t="shared" si="1"/>
        <v>сходится</v>
      </c>
      <c r="H10" s="11">
        <f t="shared" si="2"/>
        <v>0.14777350192413413</v>
      </c>
      <c r="I10" s="12"/>
    </row>
    <row r="11" spans="1:9" x14ac:dyDescent="0.35">
      <c r="A11" s="6" t="s">
        <v>31</v>
      </c>
      <c r="B11" s="7">
        <v>28</v>
      </c>
      <c r="C11" s="7">
        <v>3072</v>
      </c>
      <c r="D11" s="7">
        <v>1024</v>
      </c>
      <c r="E11" s="8">
        <f t="shared" si="0"/>
        <v>88080384</v>
      </c>
      <c r="F11" s="9">
        <v>88080384</v>
      </c>
      <c r="G11" s="10" t="str">
        <f t="shared" si="1"/>
        <v>сходится</v>
      </c>
      <c r="H11" s="11">
        <f t="shared" si="2"/>
        <v>0.14777350192413413</v>
      </c>
      <c r="I11" s="12"/>
    </row>
    <row r="12" spans="1:9" x14ac:dyDescent="0.35">
      <c r="A12" s="6" t="s">
        <v>32</v>
      </c>
      <c r="B12" s="7">
        <v>28</v>
      </c>
      <c r="C12" s="7">
        <v>1024</v>
      </c>
      <c r="D12" s="7">
        <v>3072</v>
      </c>
      <c r="E12" s="8">
        <f t="shared" si="0"/>
        <v>88080384</v>
      </c>
      <c r="F12" s="9">
        <v>88080384</v>
      </c>
      <c r="G12" s="10" t="str">
        <f t="shared" si="1"/>
        <v>сходится</v>
      </c>
      <c r="H12" s="11">
        <f t="shared" si="2"/>
        <v>0.14777350192413413</v>
      </c>
      <c r="I12" s="12"/>
    </row>
    <row r="13" spans="1:9" x14ac:dyDescent="0.35">
      <c r="A13" s="6" t="s">
        <v>33</v>
      </c>
      <c r="B13" s="7">
        <v>1</v>
      </c>
      <c r="C13" s="25">
        <v>65536</v>
      </c>
      <c r="D13" s="7">
        <v>1</v>
      </c>
      <c r="E13" s="8">
        <f t="shared" si="0"/>
        <v>65536</v>
      </c>
      <c r="F13" s="9">
        <v>65536</v>
      </c>
      <c r="G13" s="10" t="str">
        <f t="shared" si="1"/>
        <v>сходится</v>
      </c>
      <c r="H13" s="11">
        <f t="shared" si="2"/>
        <v>1.0995052226498076E-4</v>
      </c>
      <c r="I13" s="12" t="s">
        <v>34</v>
      </c>
    </row>
    <row r="14" spans="1:9" x14ac:dyDescent="0.35">
      <c r="A14" s="6" t="s">
        <v>35</v>
      </c>
      <c r="B14" s="7">
        <v>0</v>
      </c>
      <c r="C14" s="7">
        <v>151936</v>
      </c>
      <c r="D14" s="7">
        <v>1024</v>
      </c>
      <c r="E14" s="8">
        <f t="shared" si="0"/>
        <v>0</v>
      </c>
      <c r="F14" s="9">
        <v>0</v>
      </c>
      <c r="G14" s="10" t="str">
        <f t="shared" si="1"/>
        <v>сходится</v>
      </c>
      <c r="H14" s="11">
        <f t="shared" si="2"/>
        <v>0</v>
      </c>
      <c r="I14" s="12" t="s">
        <v>36</v>
      </c>
    </row>
    <row r="15" spans="1:9" x14ac:dyDescent="0.35">
      <c r="A15" s="13" t="s">
        <v>37</v>
      </c>
      <c r="F15" s="14">
        <f>SUM(F5:F14)</f>
        <v>596049920</v>
      </c>
      <c r="H15" s="11">
        <f>IF(F15=0,"",F15/F15)</f>
        <v>1</v>
      </c>
    </row>
    <row r="17" spans="1:6" x14ac:dyDescent="0.35">
      <c r="A17" s="13" t="s">
        <v>38</v>
      </c>
      <c r="F17" s="9">
        <v>596049920</v>
      </c>
    </row>
    <row r="18" spans="1:6" x14ac:dyDescent="0.35">
      <c r="A18" s="13" t="s">
        <v>39</v>
      </c>
      <c r="F18" s="10" t="str">
        <f>IF(F17="","заполните",IF(F15=F17,"да, сходится","НЕ СХОДИТСЯ"))</f>
        <v>да, сходится</v>
      </c>
    </row>
  </sheetData>
  <conditionalFormatting sqref="F18">
    <cfRule type="expression" dxfId="7" priority="2">
      <formula>EXACT(F18,"НЕ СХОДИТСЯ")</formula>
    </cfRule>
    <cfRule type="expression" dxfId="6" priority="4">
      <formula>EXACT(F18,"да, сходится")</formula>
    </cfRule>
  </conditionalFormatting>
  <conditionalFormatting sqref="G5:G14">
    <cfRule type="expression" dxfId="5" priority="1">
      <formula>EXACT(G5,"РАСХОЖДЕНИЕ")</formula>
    </cfRule>
    <cfRule type="expression" dxfId="4" priority="3">
      <formula>EXACT(G5,"сходится")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4" topLeftCell="A6" activePane="bottomLeft" state="frozen"/>
      <selection pane="bottomLeft" activeCell="E19" sqref="E19"/>
    </sheetView>
  </sheetViews>
  <sheetFormatPr defaultRowHeight="14.5" x14ac:dyDescent="0.35"/>
  <cols>
    <col min="1" max="1" width="18" customWidth="1"/>
    <col min="2" max="4" width="10" customWidth="1"/>
    <col min="5" max="5" width="26" customWidth="1"/>
    <col min="6" max="6" width="12" customWidth="1"/>
  </cols>
  <sheetData>
    <row r="1" spans="1:6" ht="18.5" x14ac:dyDescent="0.45">
      <c r="A1" s="1" t="s">
        <v>40</v>
      </c>
    </row>
    <row r="2" spans="1:6" x14ac:dyDescent="0.35">
      <c r="A2" s="4" t="s">
        <v>41</v>
      </c>
    </row>
    <row r="4" spans="1:6" x14ac:dyDescent="0.35">
      <c r="A4" s="13" t="s">
        <v>42</v>
      </c>
      <c r="B4" s="7">
        <v>8</v>
      </c>
    </row>
    <row r="5" spans="1:6" x14ac:dyDescent="0.35">
      <c r="A5" s="13" t="s">
        <v>43</v>
      </c>
      <c r="B5" s="7">
        <v>16</v>
      </c>
    </row>
    <row r="7" spans="1:6" ht="30" customHeight="1" x14ac:dyDescent="0.35">
      <c r="A7" s="5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</row>
    <row r="8" spans="1:6" x14ac:dyDescent="0.35">
      <c r="A8" s="6" t="s">
        <v>26</v>
      </c>
      <c r="B8" s="7">
        <v>28</v>
      </c>
      <c r="C8" s="7">
        <v>2048</v>
      </c>
      <c r="D8" s="7">
        <v>1024</v>
      </c>
      <c r="E8" s="8">
        <f t="shared" ref="E8:E14" si="0">IF(OR(F8&lt;&gt;"да",COUNT(B8:D8)&lt;3),0,$B$4*(C8+D8)*B8)</f>
        <v>688128</v>
      </c>
      <c r="F8" s="25" t="s">
        <v>87</v>
      </c>
    </row>
    <row r="9" spans="1:6" x14ac:dyDescent="0.35">
      <c r="A9" s="6" t="s">
        <v>27</v>
      </c>
      <c r="B9" s="7">
        <v>28</v>
      </c>
      <c r="C9" s="7">
        <v>1024</v>
      </c>
      <c r="D9" s="7">
        <v>1024</v>
      </c>
      <c r="E9" s="8">
        <f t="shared" si="0"/>
        <v>0</v>
      </c>
      <c r="F9" s="25" t="s">
        <v>88</v>
      </c>
    </row>
    <row r="10" spans="1:6" x14ac:dyDescent="0.35">
      <c r="A10" s="6" t="s">
        <v>28</v>
      </c>
      <c r="B10" s="7">
        <v>28</v>
      </c>
      <c r="C10" s="7">
        <v>1024</v>
      </c>
      <c r="D10" s="7">
        <v>1024</v>
      </c>
      <c r="E10" s="8">
        <f t="shared" si="0"/>
        <v>458752</v>
      </c>
      <c r="F10" s="25" t="s">
        <v>87</v>
      </c>
    </row>
    <row r="11" spans="1:6" x14ac:dyDescent="0.35">
      <c r="A11" s="6" t="s">
        <v>29</v>
      </c>
      <c r="B11" s="7">
        <v>28</v>
      </c>
      <c r="C11" s="7">
        <v>1024</v>
      </c>
      <c r="D11" s="7">
        <v>2048</v>
      </c>
      <c r="E11" s="8">
        <f t="shared" si="0"/>
        <v>0</v>
      </c>
      <c r="F11" s="25" t="s">
        <v>88</v>
      </c>
    </row>
    <row r="12" spans="1:6" x14ac:dyDescent="0.35">
      <c r="A12" s="6" t="s">
        <v>30</v>
      </c>
      <c r="B12" s="7">
        <v>28</v>
      </c>
      <c r="C12" s="7">
        <v>3072</v>
      </c>
      <c r="D12" s="7">
        <v>1024</v>
      </c>
      <c r="E12" s="8">
        <f t="shared" si="0"/>
        <v>0</v>
      </c>
      <c r="F12" s="25" t="s">
        <v>88</v>
      </c>
    </row>
    <row r="13" spans="1:6" x14ac:dyDescent="0.35">
      <c r="A13" s="6" t="s">
        <v>31</v>
      </c>
      <c r="B13" s="7">
        <v>28</v>
      </c>
      <c r="C13" s="7">
        <v>3072</v>
      </c>
      <c r="D13" s="7">
        <v>1024</v>
      </c>
      <c r="E13" s="8">
        <f t="shared" si="0"/>
        <v>0</v>
      </c>
      <c r="F13" s="25" t="s">
        <v>88</v>
      </c>
    </row>
    <row r="14" spans="1:6" x14ac:dyDescent="0.35">
      <c r="A14" s="6" t="s">
        <v>32</v>
      </c>
      <c r="B14" s="7">
        <v>28</v>
      </c>
      <c r="C14" s="7">
        <v>1024</v>
      </c>
      <c r="D14" s="7">
        <v>3072</v>
      </c>
      <c r="E14" s="8">
        <f t="shared" si="0"/>
        <v>0</v>
      </c>
      <c r="F14" s="25" t="s">
        <v>88</v>
      </c>
    </row>
    <row r="15" spans="1:6" x14ac:dyDescent="0.35">
      <c r="A15" s="13" t="s">
        <v>50</v>
      </c>
      <c r="E15" s="14">
        <f>SUM(E8:E14)</f>
        <v>1146880</v>
      </c>
    </row>
    <row r="16" spans="1:6" x14ac:dyDescent="0.35">
      <c r="A16" s="13" t="s">
        <v>51</v>
      </c>
      <c r="E16" s="9">
        <v>1146880</v>
      </c>
    </row>
    <row r="17" spans="1:5" x14ac:dyDescent="0.35">
      <c r="A17" s="13" t="s">
        <v>52</v>
      </c>
      <c r="E17" s="10" t="str">
        <f>IF(E16="","заполните",IF(E15=E16,"да, совпало","НЕ СОВПАЛО"))</f>
        <v>да, совпало</v>
      </c>
    </row>
    <row r="19" spans="1:5" x14ac:dyDescent="0.35">
      <c r="A19" s="13" t="s">
        <v>53</v>
      </c>
      <c r="E19" s="9">
        <v>596049920</v>
      </c>
    </row>
    <row r="20" spans="1:5" x14ac:dyDescent="0.35">
      <c r="A20" s="13" t="s">
        <v>54</v>
      </c>
      <c r="E20" s="15">
        <f>IF(E19="","",E15/E19)</f>
        <v>1.9241341396371632E-3</v>
      </c>
    </row>
  </sheetData>
  <conditionalFormatting sqref="E17">
    <cfRule type="expression" dxfId="3" priority="1">
      <formula>EXACT(E17,"НЕ СОВПАЛО")</formula>
    </cfRule>
    <cfRule type="expression" dxfId="2" priority="2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4" topLeftCell="A5" activePane="bottomLeft" state="frozen"/>
      <selection pane="bottomLeft" activeCell="B25" sqref="B25"/>
    </sheetView>
  </sheetViews>
  <sheetFormatPr defaultRowHeight="14.5" x14ac:dyDescent="0.35"/>
  <cols>
    <col min="1" max="1" width="22" customWidth="1"/>
    <col min="2" max="2" width="39.6328125" customWidth="1"/>
    <col min="3" max="3" width="16" customWidth="1"/>
    <col min="4" max="4" width="12" customWidth="1"/>
    <col min="5" max="5" width="20" customWidth="1"/>
  </cols>
  <sheetData>
    <row r="1" spans="1:5" ht="18.5" x14ac:dyDescent="0.45">
      <c r="A1" s="1" t="s">
        <v>55</v>
      </c>
    </row>
    <row r="2" spans="1:5" x14ac:dyDescent="0.35">
      <c r="A2" s="4" t="s">
        <v>56</v>
      </c>
    </row>
    <row r="4" spans="1:5" ht="30" customHeight="1" x14ac:dyDescent="0.35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</row>
    <row r="5" spans="1:5" x14ac:dyDescent="0.35">
      <c r="A5" s="16" t="s">
        <v>62</v>
      </c>
      <c r="B5" s="17">
        <v>1850</v>
      </c>
      <c r="C5" s="18">
        <f>IF($B$5="","",B5/$B$5)</f>
        <v>1</v>
      </c>
      <c r="D5" s="19">
        <v>6.3</v>
      </c>
      <c r="E5" s="10" t="str">
        <f>IF(OR(B5="",$B$14=""),"",IF(B5&gt;=$B$14,"да","МЕНЬШЕ ВЕСОВ"))</f>
        <v>да</v>
      </c>
    </row>
    <row r="6" spans="1:5" x14ac:dyDescent="0.35">
      <c r="A6" s="16" t="s">
        <v>63</v>
      </c>
      <c r="B6" s="17">
        <v>2700</v>
      </c>
      <c r="C6" s="18">
        <f>IF($B$5="","",B6/$B$5)</f>
        <v>1.4594594594594594</v>
      </c>
      <c r="D6" s="19">
        <v>17</v>
      </c>
      <c r="E6" s="10" t="str">
        <f>IF(OR(B6="",$B$14=""),"",IF(B6&gt;=$B$14,"да","МЕНЬШЕ ВЕСОВ"))</f>
        <v>да</v>
      </c>
    </row>
    <row r="7" spans="1:5" x14ac:dyDescent="0.35">
      <c r="A7" s="16" t="s">
        <v>64</v>
      </c>
      <c r="B7" s="17">
        <v>2558</v>
      </c>
      <c r="C7" s="18">
        <f>IF($B$5="","",B7/$B$5)</f>
        <v>1.3827027027027028</v>
      </c>
      <c r="D7" s="19">
        <v>6.5</v>
      </c>
      <c r="E7" s="10" t="str">
        <f>IF(OR(B7="",$B$14=""),"",IF(B7&gt;=$B$14,"да","МЕНЬШЕ ВЕСОВ"))</f>
        <v>да</v>
      </c>
    </row>
    <row r="9" spans="1:5" x14ac:dyDescent="0.35">
      <c r="A9" s="13" t="s">
        <v>65</v>
      </c>
    </row>
    <row r="10" spans="1:5" x14ac:dyDescent="0.35">
      <c r="A10" s="16" t="s">
        <v>66</v>
      </c>
      <c r="B10" s="9">
        <v>596049920</v>
      </c>
    </row>
    <row r="11" spans="1:5" x14ac:dyDescent="0.35">
      <c r="A11" s="16" t="s">
        <v>67</v>
      </c>
      <c r="B11" s="7">
        <v>2</v>
      </c>
    </row>
    <row r="13" spans="1:5" x14ac:dyDescent="0.35">
      <c r="A13" s="23" t="s">
        <v>68</v>
      </c>
    </row>
    <row r="14" spans="1:5" x14ac:dyDescent="0.35">
      <c r="A14" s="24"/>
      <c r="B14" s="8">
        <f>IF(COUNT(B10:B11)&lt;2,"",B10*B11/1048576)</f>
        <v>1136.875</v>
      </c>
    </row>
    <row r="16" spans="1:5" x14ac:dyDescent="0.35">
      <c r="A16" s="13" t="s">
        <v>69</v>
      </c>
    </row>
    <row r="17" spans="1:2" x14ac:dyDescent="0.35">
      <c r="A17" s="16" t="s">
        <v>70</v>
      </c>
      <c r="B17" s="26" t="s">
        <v>89</v>
      </c>
    </row>
    <row r="18" spans="1:2" x14ac:dyDescent="0.35">
      <c r="A18" s="16" t="s">
        <v>71</v>
      </c>
      <c r="B18" s="26" t="s">
        <v>91</v>
      </c>
    </row>
    <row r="19" spans="1:2" x14ac:dyDescent="0.35">
      <c r="A19" s="16" t="s">
        <v>72</v>
      </c>
      <c r="B19" s="26" t="s">
        <v>90</v>
      </c>
    </row>
    <row r="20" spans="1:2" x14ac:dyDescent="0.35">
      <c r="A20" s="16" t="s">
        <v>73</v>
      </c>
      <c r="B20" s="20">
        <v>256</v>
      </c>
    </row>
    <row r="21" spans="1:2" x14ac:dyDescent="0.35">
      <c r="A21" s="16" t="s">
        <v>74</v>
      </c>
      <c r="B21" s="20">
        <v>1</v>
      </c>
    </row>
    <row r="22" spans="1:2" x14ac:dyDescent="0.35">
      <c r="A22" s="16" t="s">
        <v>75</v>
      </c>
      <c r="B22" s="20">
        <v>3</v>
      </c>
    </row>
    <row r="23" spans="1:2" ht="78" customHeight="1" x14ac:dyDescent="0.35">
      <c r="A23" s="16" t="s">
        <v>76</v>
      </c>
      <c r="B23" s="27" t="s">
        <v>92</v>
      </c>
    </row>
    <row r="24" spans="1:2" x14ac:dyDescent="0.35">
      <c r="A24" s="16" t="s">
        <v>77</v>
      </c>
      <c r="B24" s="26" t="s">
        <v>93</v>
      </c>
    </row>
  </sheetData>
  <mergeCells count="1">
    <mergeCell ref="A13:A14"/>
  </mergeCells>
  <conditionalFormatting sqref="E5:E7">
    <cfRule type="expression" dxfId="1" priority="1">
      <formula>EXACT(E5,"МЕНЬШЕ ВЕСОВ")</formula>
    </cfRule>
    <cfRule type="expression" dxfId="0" priority="2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pane ySplit="4" topLeftCell="A6" activePane="bottomLeft" state="frozen"/>
      <selection pane="bottomLeft" activeCell="D7" sqref="D7"/>
    </sheetView>
  </sheetViews>
  <sheetFormatPr defaultRowHeight="14.5" x14ac:dyDescent="0.35"/>
  <cols>
    <col min="1" max="1" width="4" customWidth="1"/>
    <col min="2" max="2" width="58" customWidth="1"/>
    <col min="3" max="3" width="80" customWidth="1"/>
  </cols>
  <sheetData>
    <row r="1" spans="1:3" ht="18.5" x14ac:dyDescent="0.45">
      <c r="A1" s="1" t="s">
        <v>78</v>
      </c>
    </row>
    <row r="2" spans="1:3" x14ac:dyDescent="0.35">
      <c r="A2" s="4" t="s">
        <v>79</v>
      </c>
    </row>
    <row r="4" spans="1:3" ht="30" customHeight="1" x14ac:dyDescent="0.35">
      <c r="A4" s="5"/>
      <c r="B4" s="5" t="s">
        <v>80</v>
      </c>
      <c r="C4" s="5" t="s">
        <v>81</v>
      </c>
    </row>
    <row r="5" spans="1:3" ht="58" customHeight="1" x14ac:dyDescent="0.35">
      <c r="A5" s="13">
        <v>1</v>
      </c>
      <c r="B5" s="21" t="s">
        <v>82</v>
      </c>
      <c r="C5" s="22" t="s">
        <v>94</v>
      </c>
    </row>
    <row r="6" spans="1:3" ht="58" customHeight="1" x14ac:dyDescent="0.35">
      <c r="A6" s="13">
        <v>2</v>
      </c>
      <c r="B6" s="21" t="s">
        <v>83</v>
      </c>
      <c r="C6" s="22" t="s">
        <v>95</v>
      </c>
    </row>
    <row r="7" spans="1:3" ht="58" customHeight="1" x14ac:dyDescent="0.35">
      <c r="A7" s="13">
        <v>3</v>
      </c>
      <c r="B7" s="21" t="s">
        <v>84</v>
      </c>
      <c r="C7" s="22" t="s">
        <v>96</v>
      </c>
    </row>
    <row r="8" spans="1:3" ht="58" customHeight="1" x14ac:dyDescent="0.35">
      <c r="A8" s="13">
        <v>4</v>
      </c>
      <c r="B8" s="21" t="s">
        <v>85</v>
      </c>
      <c r="C8" s="22" t="s">
        <v>97</v>
      </c>
    </row>
    <row r="9" spans="1:3" ht="58" customHeight="1" x14ac:dyDescent="0.35">
      <c r="A9" s="13">
        <v>5</v>
      </c>
      <c r="B9" s="21" t="s">
        <v>86</v>
      </c>
      <c r="C9" s="2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Как пользоваться</vt:lpstr>
      <vt:lpstr>Параметры</vt:lpstr>
      <vt:lpstr>LoRA</vt:lpstr>
      <vt:lpstr>Память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 Шегай</cp:lastModifiedBy>
  <dcterms:created xsi:type="dcterms:W3CDTF">2026-09-08T22:05:17Z</dcterms:created>
  <dcterms:modified xsi:type="dcterms:W3CDTF">2026-09-14T05:07:06Z</dcterms:modified>
</cp:coreProperties>
</file>